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ine\WDR2025\downloadable files\downloads_working\"/>
    </mc:Choice>
  </mc:AlternateContent>
  <xr:revisionPtr revIDLastSave="0" documentId="13_ncr:1_{10AD9156-3FD2-49C4-BF5A-A600E83886AC}" xr6:coauthVersionLast="47" xr6:coauthVersionMax="47" xr10:uidLastSave="{00000000-0000-0000-0000-000000000000}"/>
  <bookViews>
    <workbookView xWindow="-38520" yWindow="-120" windowWidth="38640" windowHeight="21120" xr2:uid="{D7E2DE76-D8F7-4A22-B4C2-4C45FB4DDA62}"/>
  </bookViews>
  <sheets>
    <sheet name="Key finding" sheetId="23" r:id="rId1"/>
    <sheet name="Figure A" sheetId="2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<sst xmlns="http://schemas.openxmlformats.org/spreadsheetml/2006/main" count="20" uniqueCount="20">
  <si>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</si>
  <si>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</si>
  <si>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</si>
  <si>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</si>
  <si>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</si>
  <si>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</si>
  <si>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</si>
  <si>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</si>
  <si>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</si>
  <si>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</si>
  <si>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</si>
  <si>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</si>
  <si>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Estimates of overall darknet market sales (based on blockchain analysis, update, 2020-2024)</t>
  </si>
  <si>
    <t>Minimum sales (based on scraping of 39 major darknet markets)</t>
  </si>
  <si>
    <t xml:space="preserve"> Estimates of overall darknet market sales (mostly drug-related) based on analysis of blockchains 2012-2024 and observed minimum sales on selected major darknet markets (mostly drug-related), 2011-2022</t>
  </si>
  <si>
    <t>Trend in darknet drug sales</t>
  </si>
  <si>
    <r>
      <rPr>
        <b/>
        <sz val="12"/>
        <color theme="1"/>
        <rFont val="Calibri"/>
        <family val="2"/>
        <scheme val="minor"/>
      </rPr>
      <t>Sources</t>
    </r>
    <r>
      <rPr>
        <sz val="12"/>
        <color theme="1"/>
        <rFont val="Calibri"/>
        <family val="2"/>
        <scheme val="minor"/>
      </rPr>
      <t>: UNODC calculations based on Hikari Labs data and Chainanalysis, Crypto Crime Report 2024 (and previous years).</t>
    </r>
  </si>
  <si>
    <t>Overall darknet market sales (based on blockchain analysis, 2012-2021)</t>
  </si>
  <si>
    <t>Darknet sales, mostly drug related, remained around the annual 2bl US$ in 2024</t>
  </si>
  <si>
    <t>Total darknet sales - mostly drug related – have remained around $2 billion US$ between 2022-2024 with some small variations. Darknet sales, however, have not recovered from the decline from close to $3 billion in 2021 after the Hydra Market was dismantled in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</si>
</sst>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Border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wrapText="1"/>
    </xf>
    <xf numFmtId="0" fontId="7" fillId="2" borderId="0" xfId="0" applyFont="1" applyFill="1"/>
    <xf numFmtId="165" fontId="7" fillId="2" borderId="0" xfId="4" applyNumberFormat="1" applyFont="1" applyFill="1"/>
    <xf numFmtId="0" fontId="7" fillId="2" borderId="1" xfId="0" applyFont="1" applyFill="1" applyBorder="1"/>
    <xf numFmtId="0" fontId="8" fillId="2" borderId="1" xfId="0" applyFont="1" applyFill="1" applyBorder="1" applyAlignment="1">
      <alignment horizontal="left"/>
    </xf>
    <xf numFmtId="165" fontId="7" fillId="2" borderId="1" xfId="4" applyNumberFormat="1" applyFont="1" applyFill="1" applyBorder="1"/>
    <xf numFmtId="0" fontId="8" fillId="2" borderId="1" xfId="0" applyFont="1" applyFill="1" applyBorder="1"/>
    <xf numFmtId="0" fontId="0" fillId="2" borderId="0" xfId="0" applyFill="1" applyAlignment="1">
      <alignment horizontal="left" wrapText="1"/>
    </xf>
    <xf numFmtId="0" fontId="7" fillId="2" borderId="0" xfId="0" applyFont="1" applyFill="1" applyAlignment="1">
      <alignment horizontal="left" wrapText="1"/>
    </xf>
    <xf numFmtId="0" fontId="9" fillId="2" borderId="0" xfId="0" applyFont="1" applyFill="1" applyAlignment="1">
      <alignment wrapText="1"/>
    </xf>
    <xf numFmtId="0" fontId="6" fillId="2" borderId="0" xfId="0" applyFont="1" applyFill="1" applyAlignment="1">
      <alignment vertical="top" wrapText="1"/>
    </xf>
    <xf numFmtId="0" fontId="0" fillId="2" borderId="0" xfId="0" applyFill="1" applyAlignment="1">
      <alignment vertical="top" wrapText="1"/>
    </xf>
  </cellXfs>
  <cellStyles count="5">
    <cellStyle name="Comma" xfId="4" builtinId="3"/>
    <cellStyle name="Comma 3" xfId="3" xr:uid="{C9345565-BCF8-4436-80AD-33D0D037BA8D}"/>
    <cellStyle name="Comma 3 3" xfId="2" xr:uid="{AC9F765D-4127-4251-954F-24B61801C9D0}"/>
    <cellStyle name="Normal" xfId="0" builtinId="0"/>
    <cellStyle name="Normal 4" xfId="1" xr:uid="{8D56409E-211B-4DFB-B78E-71FAA23D6752}"/>
  </cellStyles>
  <dxfs count="0"/>
  <tableStyles count="0" defaultTableStyle="TableStyleMedium2" defaultPivotStyle="PivotStyleLight16"/>
  <colors>
    <mruColors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90069991251094"/>
          <c:y val="5.0925925925925923E-2"/>
          <c:w val="0.84054374453193337"/>
          <c:h val="0.661695100612423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'Figure A'!$C$30</c:f>
              <c:strCache>
                <c:ptCount val="1"/>
                <c:pt idx="0">
                  <c:v>Minimum sales (based on scraping of 39 major darknet markets)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A'!$B$31:$B$44</c:f>
              <c:strCach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strCache>
            </c:strRef>
          </c:cat>
          <c:val>
            <c:numRef>
              <c:f>'Figure A'!$C$31:$C$43</c:f>
              <c:numCache>
                <c:formatCode>_(* #,##0_);_(* \(#,##0\);_(* "-"??_);_(@_)</c:formatCode>
                <c:ptCount val="13"/>
                <c:pt idx="0">
                  <c:v>1.3124358600000006</c:v>
                </c:pt>
                <c:pt idx="1">
                  <c:v>12.844965519999993</c:v>
                </c:pt>
                <c:pt idx="2">
                  <c:v>72.704725180000011</c:v>
                </c:pt>
                <c:pt idx="3">
                  <c:v>204.45441877000005</c:v>
                </c:pt>
                <c:pt idx="4">
                  <c:v>74.55204276000002</c:v>
                </c:pt>
                <c:pt idx="5">
                  <c:v>123.16007686999998</c:v>
                </c:pt>
                <c:pt idx="6">
                  <c:v>209.49745431999983</c:v>
                </c:pt>
                <c:pt idx="7">
                  <c:v>326.96673507999998</c:v>
                </c:pt>
                <c:pt idx="8">
                  <c:v>43.241731950000009</c:v>
                </c:pt>
                <c:pt idx="9">
                  <c:v>98.3094298500001</c:v>
                </c:pt>
                <c:pt idx="10">
                  <c:v>111.62505113999995</c:v>
                </c:pt>
                <c:pt idx="11">
                  <c:v>18.643175219999982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FB-4331-AFBA-8038D15377C7}"/>
            </c:ext>
          </c:extLst>
        </c:ser>
        <c:ser>
          <c:idx val="2"/>
          <c:order val="2"/>
          <c:tx>
            <c:strRef>
              <c:f>'Figure A'!$E$30</c:f>
              <c:strCache>
                <c:ptCount val="1"/>
                <c:pt idx="0">
                  <c:v>Estimates of overall darknet market sales (based on blockchain analysis, update, 2020-2024)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  <a:prstDash val="solid"/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 w="28575" cap="rnd">
                <a:noFill/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8FB-4331-AFBA-8038D15377C7}"/>
              </c:ext>
            </c:extLst>
          </c:dPt>
          <c:dLbls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&gt;$2 billion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CF94-4A9D-B90F-A9E5D1DC5E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A'!$B$31:$B$44</c:f>
              <c:strCach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strCache>
            </c:strRef>
          </c:cat>
          <c:val>
            <c:numRef>
              <c:f>'Figure A'!$E$31:$E$44</c:f>
              <c:numCache>
                <c:formatCode>General</c:formatCode>
                <c:ptCount val="14"/>
                <c:pt idx="9">
                  <c:v>2080</c:v>
                </c:pt>
                <c:pt idx="10">
                  <c:v>2900</c:v>
                </c:pt>
                <c:pt idx="11">
                  <c:v>2100</c:v>
                </c:pt>
                <c:pt idx="12">
                  <c:v>2300</c:v>
                </c:pt>
                <c:pt idx="13">
                  <c:v>2050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FB-4331-AFBA-8038D1537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866482560"/>
        <c:axId val="866485184"/>
      </c:barChart>
      <c:lineChart>
        <c:grouping val="standard"/>
        <c:varyColors val="0"/>
        <c:ser>
          <c:idx val="1"/>
          <c:order val="1"/>
          <c:tx>
            <c:strRef>
              <c:f>'Figure A'!$D$30</c:f>
              <c:strCache>
                <c:ptCount val="1"/>
                <c:pt idx="0">
                  <c:v>Overall darknet market sales (based on blockchain analysis, 2012-2021)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'Figure A'!$B$31:$B$42</c:f>
              <c:strCach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strCache>
            </c:strRef>
          </c:cat>
          <c:val>
            <c:numRef>
              <c:f>'Figure A'!$D$31:$D$42</c:f>
              <c:numCache>
                <c:formatCode>General</c:formatCode>
                <c:ptCount val="12"/>
                <c:pt idx="1">
                  <c:v>70</c:v>
                </c:pt>
                <c:pt idx="2">
                  <c:v>200</c:v>
                </c:pt>
                <c:pt idx="3">
                  <c:v>260</c:v>
                </c:pt>
                <c:pt idx="4">
                  <c:v>360</c:v>
                </c:pt>
                <c:pt idx="5">
                  <c:v>600</c:v>
                </c:pt>
                <c:pt idx="6">
                  <c:v>750</c:v>
                </c:pt>
                <c:pt idx="7">
                  <c:v>630</c:v>
                </c:pt>
                <c:pt idx="8">
                  <c:v>1180</c:v>
                </c:pt>
                <c:pt idx="9">
                  <c:v>1570</c:v>
                </c:pt>
                <c:pt idx="10">
                  <c:v>1780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FB-4331-AFBA-8038D1537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6482560"/>
        <c:axId val="866485184"/>
      </c:lineChart>
      <c:catAx>
        <c:axId val="86648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485184"/>
        <c:crosses val="autoZero"/>
        <c:auto val="1"/>
        <c:lblAlgn val="ctr"/>
        <c:lblOffset val="100"/>
        <c:noMultiLvlLbl val="0"/>
      </c:catAx>
      <c:valAx>
        <c:axId val="866485184"/>
        <c:scaling>
          <c:orientation val="minMax"/>
          <c:max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sales (million dollars)</a:t>
                </a:r>
              </a:p>
            </c:rich>
          </c:tx>
          <c:layout>
            <c:manualLayout>
              <c:xMode val="edge"/>
              <c:yMode val="edge"/>
              <c:x val="2.4851923250475465E-4"/>
              <c:y val="0.194676329654815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48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3175853018372675E-3"/>
          <c:y val="0.80150189559638396"/>
          <c:w val="0.96955817521403187"/>
          <c:h val="0.164871127380216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184150</xdr:colOff>
      <xdr:row>13</xdr:row>
      <xdr:rowOff>107950</xdr:rowOff>
    </xdr:from>
    <xdr:to>
      <xdr:col>6</xdr:col>
      <xdr:colOff>184150</xdr:colOff>
      <xdr:row>15</xdr:row>
      <xdr:rowOff>31750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3232150" y="2317750"/>
          <a:ext cx="609600" cy="292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600">
              <a:solidFill>
                <a:schemeClr val="bg1"/>
              </a:solidFill>
            </a:rPr>
            <a:t>Agora</a:t>
          </a:r>
        </a:p>
      </xdr:txBody>
    </xdr:sp>
    <xdr:clientData/>
  </xdr:twoCellAnchor>
  <xdr:twoCellAnchor>
    <xdr:from>
      <xdr:col>1</xdr:col>
      <xdr:colOff>73220</xdr:colOff>
      <xdr:row>3</xdr:row>
      <xdr:rowOff>19439</xdr:rowOff>
    </xdr:from>
    <xdr:to>
      <xdr:col>4</xdr:col>
      <xdr:colOff>340178</xdr:colOff>
      <xdr:row>26</xdr:row>
      <xdr:rowOff>25918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9ED2C-C2A3-410C-84DA-DBC86FC45397}">
  <dimension ref="B2:B5"/>
  <sheetViews>
    <sheetView tabSelected="1" workbookViewId="0">
      <selection activeCell="B25" sqref="B25"/>
    </sheetView>
  </sheetViews>
  <sheetFormatPr defaultColWidth="8.7109375" defaultRowHeight="15" x14ac:dyDescent="0.25"/>
  <cols>
    <col min="1" max="1" width="13.28515625" style="1" customWidth="1"/>
    <col min="2" max="2" width="148.5703125" style="13" customWidth="1"/>
    <col min="3" max="16384" width="8.7109375" style="1"/>
  </cols>
  <sheetData>
    <row r="2" spans="2:2" ht="26.25" x14ac:dyDescent="0.25">
      <c r="B2" s="12" t="s">
        <v>15</v>
      </c>
    </row>
    <row r="4" spans="2:2" x14ac:dyDescent="0.25">
      <c r="B4" s="13" t="s">
        <v>18</v>
      </c>
    </row>
    <row r="5" spans="2:2" ht="30" x14ac:dyDescent="0.25">
      <c r="B5" s="13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42BE8-BA4D-4A1E-A798-4D2A003C788F}">
  <dimension ref="B2:L134"/>
  <sheetViews>
    <sheetView zoomScale="98" zoomScaleNormal="98" workbookViewId="0">
      <selection activeCell="E14" sqref="E14"/>
    </sheetView>
  </sheetViews>
  <sheetFormatPr defaultColWidth="8.7109375" defaultRowHeight="15" x14ac:dyDescent="0.25"/>
  <cols>
    <col min="1" max="1" width="8.7109375" style="1"/>
    <col min="2" max="2" width="8.7109375" style="1" customWidth="1"/>
    <col min="3" max="3" width="60.7109375" style="1" customWidth="1"/>
    <col min="4" max="4" width="67.85546875" style="1" customWidth="1"/>
    <col min="5" max="5" width="86.42578125" style="1" customWidth="1"/>
    <col min="6" max="6" width="77" style="1" customWidth="1"/>
    <col min="7" max="8" width="8.7109375" style="1"/>
    <col min="9" max="9" width="13.28515625" style="1" customWidth="1"/>
    <col min="10" max="16384" width="8.7109375" style="1"/>
  </cols>
  <sheetData>
    <row r="2" spans="2:12" ht="18.95" customHeight="1" x14ac:dyDescent="0.3">
      <c r="B2" s="11" t="s">
        <v>14</v>
      </c>
      <c r="C2" s="11"/>
      <c r="D2" s="11"/>
      <c r="E2" s="11"/>
      <c r="F2" s="11"/>
      <c r="G2" s="11"/>
      <c r="H2" s="11"/>
      <c r="I2" s="11"/>
      <c r="J2" s="11"/>
      <c r="K2" s="11"/>
    </row>
    <row r="3" spans="2:12" ht="17.100000000000001" customHeight="1" x14ac:dyDescent="0.3">
      <c r="C3" s="2"/>
      <c r="D3" s="2"/>
      <c r="E3" s="2"/>
      <c r="F3" s="2"/>
      <c r="G3" s="2"/>
      <c r="H3" s="2"/>
      <c r="I3" s="2"/>
      <c r="J3" s="2"/>
      <c r="K3" s="2"/>
      <c r="L3" s="2"/>
    </row>
    <row r="20" spans="2:11" ht="23.45" customHeight="1" x14ac:dyDescent="0.25"/>
    <row r="24" spans="2:11" x14ac:dyDescent="0.25">
      <c r="C24" s="9"/>
      <c r="D24" s="9"/>
      <c r="E24" s="9"/>
      <c r="F24" s="9"/>
      <c r="G24" s="9"/>
      <c r="H24" s="9"/>
      <c r="I24" s="9"/>
      <c r="J24" s="9"/>
      <c r="K24" s="9"/>
    </row>
    <row r="25" spans="2:11" x14ac:dyDescent="0.25">
      <c r="C25" s="9"/>
      <c r="D25" s="9"/>
      <c r="E25" s="9"/>
      <c r="F25" s="9"/>
      <c r="G25" s="9"/>
      <c r="H25" s="9"/>
      <c r="I25" s="9"/>
      <c r="J25" s="9"/>
      <c r="K25" s="9"/>
    </row>
    <row r="26" spans="2:11" s="3" customFormat="1" ht="56.1" customHeight="1" x14ac:dyDescent="0.25">
      <c r="C26" s="9"/>
      <c r="D26" s="9"/>
      <c r="E26" s="9"/>
      <c r="F26" s="9"/>
      <c r="G26" s="9"/>
      <c r="H26" s="9"/>
      <c r="I26" s="9"/>
      <c r="J26" s="9"/>
      <c r="K26" s="9"/>
    </row>
    <row r="27" spans="2:11" s="3" customFormat="1" ht="33" customHeight="1" x14ac:dyDescent="0.25">
      <c r="B27" s="10" t="s">
        <v>16</v>
      </c>
      <c r="C27" s="10"/>
      <c r="D27" s="10"/>
      <c r="E27" s="10"/>
      <c r="F27" s="10"/>
      <c r="G27" s="10"/>
      <c r="H27" s="10"/>
      <c r="I27" s="10"/>
    </row>
    <row r="28" spans="2:11" s="3" customFormat="1" ht="15.75" x14ac:dyDescent="0.25"/>
    <row r="29" spans="2:11" s="3" customFormat="1" ht="15.75" x14ac:dyDescent="0.25"/>
    <row r="30" spans="2:11" s="3" customFormat="1" ht="15.75" x14ac:dyDescent="0.25">
      <c r="B30" s="5"/>
      <c r="C30" s="8" t="s">
        <v>13</v>
      </c>
      <c r="D30" s="8" t="s">
        <v>17</v>
      </c>
      <c r="E30" s="8" t="s">
        <v>12</v>
      </c>
    </row>
    <row r="31" spans="2:11" s="3" customFormat="1" ht="15.75" x14ac:dyDescent="0.25">
      <c r="B31" s="6" t="s">
        <v>0</v>
      </c>
      <c r="C31" s="7">
        <v>1.3124358600000006</v>
      </c>
      <c r="D31" s="5"/>
      <c r="E31" s="5"/>
    </row>
    <row r="32" spans="2:11" s="3" customFormat="1" ht="15.75" x14ac:dyDescent="0.25">
      <c r="B32" s="6" t="s">
        <v>1</v>
      </c>
      <c r="C32" s="7">
        <v>12.844965519999993</v>
      </c>
      <c r="D32" s="5">
        <v>70</v>
      </c>
      <c r="E32" s="5"/>
    </row>
    <row r="33" spans="2:9" s="3" customFormat="1" ht="15.75" x14ac:dyDescent="0.25">
      <c r="B33" s="6" t="s">
        <v>2</v>
      </c>
      <c r="C33" s="7">
        <v>72.704725180000011</v>
      </c>
      <c r="D33" s="5">
        <v>200</v>
      </c>
      <c r="E33" s="5"/>
    </row>
    <row r="34" spans="2:9" s="3" customFormat="1" ht="15.75" x14ac:dyDescent="0.25">
      <c r="B34" s="6" t="s">
        <v>3</v>
      </c>
      <c r="C34" s="7">
        <v>204.45441877000005</v>
      </c>
      <c r="D34" s="5">
        <v>260</v>
      </c>
      <c r="E34" s="5"/>
    </row>
    <row r="35" spans="2:9" s="3" customFormat="1" ht="15.75" x14ac:dyDescent="0.25">
      <c r="B35" s="6" t="s">
        <v>4</v>
      </c>
      <c r="C35" s="7">
        <v>74.55204276000002</v>
      </c>
      <c r="D35" s="5">
        <v>360</v>
      </c>
      <c r="E35" s="5"/>
    </row>
    <row r="36" spans="2:9" s="3" customFormat="1" ht="15.75" x14ac:dyDescent="0.25">
      <c r="B36" s="6" t="s">
        <v>5</v>
      </c>
      <c r="C36" s="7">
        <v>123.16007686999998</v>
      </c>
      <c r="D36" s="5">
        <v>600</v>
      </c>
      <c r="E36" s="5"/>
    </row>
    <row r="37" spans="2:9" s="3" customFormat="1" ht="15.75" x14ac:dyDescent="0.25">
      <c r="B37" s="6" t="s">
        <v>6</v>
      </c>
      <c r="C37" s="7">
        <v>209.49745431999983</v>
      </c>
      <c r="D37" s="5">
        <v>750</v>
      </c>
      <c r="E37" s="5"/>
    </row>
    <row r="38" spans="2:9" s="3" customFormat="1" ht="15.75" x14ac:dyDescent="0.25">
      <c r="B38" s="6" t="s">
        <v>7</v>
      </c>
      <c r="C38" s="7">
        <v>326.96673507999998</v>
      </c>
      <c r="D38" s="5">
        <v>630</v>
      </c>
      <c r="E38" s="5"/>
    </row>
    <row r="39" spans="2:9" s="3" customFormat="1" ht="15.75" x14ac:dyDescent="0.25">
      <c r="B39" s="6" t="s">
        <v>8</v>
      </c>
      <c r="C39" s="7">
        <v>43.241731950000009</v>
      </c>
      <c r="D39" s="5">
        <v>1180</v>
      </c>
      <c r="E39" s="5"/>
    </row>
    <row r="40" spans="2:9" s="3" customFormat="1" ht="15.75" x14ac:dyDescent="0.25">
      <c r="B40" s="6" t="s">
        <v>9</v>
      </c>
      <c r="C40" s="7">
        <v>98.3094298500001</v>
      </c>
      <c r="D40" s="5">
        <v>1570</v>
      </c>
      <c r="E40" s="5">
        <v>2080</v>
      </c>
    </row>
    <row r="41" spans="2:9" s="3" customFormat="1" ht="15.75" x14ac:dyDescent="0.25">
      <c r="B41" s="6" t="s">
        <v>10</v>
      </c>
      <c r="C41" s="7">
        <v>111.62505113999995</v>
      </c>
      <c r="D41" s="5">
        <v>1780</v>
      </c>
      <c r="E41" s="5">
        <v>2900</v>
      </c>
    </row>
    <row r="42" spans="2:9" s="3" customFormat="1" ht="15.75" x14ac:dyDescent="0.25">
      <c r="B42" s="6" t="s">
        <v>11</v>
      </c>
      <c r="C42" s="7">
        <v>18.643175219999982</v>
      </c>
      <c r="D42" s="5"/>
      <c r="E42" s="5">
        <v>2100</v>
      </c>
    </row>
    <row r="43" spans="2:9" s="3" customFormat="1" ht="15.75" x14ac:dyDescent="0.25">
      <c r="B43" s="6">
        <v>2023</v>
      </c>
      <c r="C43" s="5"/>
      <c r="D43" s="5"/>
      <c r="E43" s="5">
        <v>2300</v>
      </c>
    </row>
    <row r="44" spans="2:9" s="3" customFormat="1" ht="15.75" x14ac:dyDescent="0.25">
      <c r="B44" s="6">
        <v>2024</v>
      </c>
      <c r="C44" s="5"/>
      <c r="D44" s="5"/>
      <c r="E44" s="5">
        <v>2050</v>
      </c>
    </row>
    <row r="45" spans="2:9" s="3" customFormat="1" ht="15.75" x14ac:dyDescent="0.25"/>
    <row r="46" spans="2:9" s="3" customFormat="1" ht="15.75" x14ac:dyDescent="0.25">
      <c r="I46" s="4"/>
    </row>
    <row r="47" spans="2:9" s="3" customFormat="1" ht="15.75" x14ac:dyDescent="0.25"/>
    <row r="48" spans="2:9" s="3" customFormat="1" ht="15.75" x14ac:dyDescent="0.25"/>
    <row r="49" s="3" customFormat="1" ht="15.75" x14ac:dyDescent="0.25"/>
    <row r="50" s="3" customFormat="1" ht="15.75" x14ac:dyDescent="0.25"/>
    <row r="51" s="3" customFormat="1" ht="15.75" x14ac:dyDescent="0.25"/>
    <row r="52" s="3" customFormat="1" ht="15.75" x14ac:dyDescent="0.25"/>
    <row r="53" s="3" customFormat="1" ht="15.75" x14ac:dyDescent="0.25"/>
    <row r="54" s="3" customFormat="1" ht="15.75" x14ac:dyDescent="0.25"/>
    <row r="55" s="3" customFormat="1" ht="15.75" x14ac:dyDescent="0.25"/>
    <row r="56" s="3" customFormat="1" ht="15.75" x14ac:dyDescent="0.25"/>
    <row r="57" s="3" customFormat="1" ht="15.75" x14ac:dyDescent="0.25"/>
    <row r="58" s="3" customFormat="1" ht="15.75" x14ac:dyDescent="0.25"/>
    <row r="59" s="3" customFormat="1" ht="15.75" x14ac:dyDescent="0.25"/>
    <row r="60" s="3" customFormat="1" ht="15.75" x14ac:dyDescent="0.25"/>
    <row r="61" s="3" customFormat="1" ht="15.75" x14ac:dyDescent="0.25"/>
    <row r="62" s="3" customFormat="1" ht="15.75" x14ac:dyDescent="0.25"/>
    <row r="63" s="3" customFormat="1" ht="15.75" x14ac:dyDescent="0.25"/>
    <row r="64" s="3" customFormat="1" ht="15.75" x14ac:dyDescent="0.25"/>
    <row r="65" s="3" customFormat="1" ht="15.75" x14ac:dyDescent="0.25"/>
    <row r="66" s="3" customFormat="1" ht="15.75" x14ac:dyDescent="0.25"/>
    <row r="67" s="3" customFormat="1" ht="15.75" x14ac:dyDescent="0.25"/>
    <row r="68" s="3" customFormat="1" ht="15.75" x14ac:dyDescent="0.25"/>
    <row r="69" s="3" customFormat="1" ht="15.75" x14ac:dyDescent="0.25"/>
    <row r="70" s="3" customFormat="1" ht="15.75" x14ac:dyDescent="0.25"/>
    <row r="71" s="3" customFormat="1" ht="15.75" x14ac:dyDescent="0.25"/>
    <row r="72" s="3" customFormat="1" ht="15.75" x14ac:dyDescent="0.25"/>
    <row r="73" s="3" customFormat="1" ht="15.75" x14ac:dyDescent="0.25"/>
    <row r="74" s="3" customFormat="1" ht="15.75" x14ac:dyDescent="0.25"/>
    <row r="75" s="3" customFormat="1" ht="15.75" x14ac:dyDescent="0.25"/>
    <row r="76" s="3" customFormat="1" ht="15.75" x14ac:dyDescent="0.25"/>
    <row r="77" s="3" customFormat="1" ht="15.75" x14ac:dyDescent="0.25"/>
    <row r="78" s="3" customFormat="1" ht="15.75" x14ac:dyDescent="0.25"/>
    <row r="79" s="3" customFormat="1" ht="15.75" x14ac:dyDescent="0.25"/>
    <row r="80" s="3" customFormat="1" ht="15.75" x14ac:dyDescent="0.25"/>
    <row r="81" s="3" customFormat="1" ht="15.75" x14ac:dyDescent="0.25"/>
    <row r="82" s="3" customFormat="1" ht="15.75" x14ac:dyDescent="0.25"/>
    <row r="83" s="3" customFormat="1" ht="15.75" x14ac:dyDescent="0.25"/>
    <row r="84" s="3" customFormat="1" ht="15.75" x14ac:dyDescent="0.25"/>
    <row r="85" s="3" customFormat="1" ht="15.75" x14ac:dyDescent="0.25"/>
    <row r="86" s="3" customFormat="1" ht="15.75" x14ac:dyDescent="0.25"/>
    <row r="87" s="3" customFormat="1" ht="15.75" x14ac:dyDescent="0.25"/>
    <row r="88" s="3" customFormat="1" ht="15.75" x14ac:dyDescent="0.25"/>
    <row r="89" s="3" customFormat="1" ht="15.75" x14ac:dyDescent="0.25"/>
    <row r="90" s="3" customFormat="1" ht="15.75" x14ac:dyDescent="0.25"/>
    <row r="91" s="3" customFormat="1" ht="15.75" x14ac:dyDescent="0.25"/>
    <row r="92" s="3" customFormat="1" ht="15.75" x14ac:dyDescent="0.25"/>
    <row r="93" s="3" customFormat="1" ht="15.75" x14ac:dyDescent="0.25"/>
    <row r="94" s="3" customFormat="1" ht="15.75" x14ac:dyDescent="0.25"/>
    <row r="95" s="3" customFormat="1" ht="15.75" x14ac:dyDescent="0.25"/>
    <row r="96" s="3" customFormat="1" ht="15.75" x14ac:dyDescent="0.25"/>
    <row r="97" s="3" customFormat="1" ht="15.75" x14ac:dyDescent="0.25"/>
    <row r="98" s="3" customFormat="1" ht="15.75" x14ac:dyDescent="0.25"/>
    <row r="99" s="3" customFormat="1" ht="15.75" x14ac:dyDescent="0.25"/>
    <row r="100" s="3" customFormat="1" ht="15.75" x14ac:dyDescent="0.25"/>
    <row r="101" s="3" customFormat="1" ht="15.75" x14ac:dyDescent="0.25"/>
    <row r="102" s="3" customFormat="1" ht="15.75" x14ac:dyDescent="0.25"/>
    <row r="103" s="3" customFormat="1" ht="15.75" x14ac:dyDescent="0.25"/>
    <row r="104" s="3" customFormat="1" ht="15.75" x14ac:dyDescent="0.25"/>
    <row r="105" s="3" customFormat="1" ht="15.75" x14ac:dyDescent="0.25"/>
    <row r="106" s="3" customFormat="1" ht="15.75" x14ac:dyDescent="0.25"/>
    <row r="107" s="3" customFormat="1" ht="15.75" x14ac:dyDescent="0.25"/>
    <row r="108" s="3" customFormat="1" ht="15.75" x14ac:dyDescent="0.25"/>
    <row r="109" s="3" customFormat="1" ht="15.75" x14ac:dyDescent="0.25"/>
    <row r="110" s="3" customFormat="1" ht="15.75" x14ac:dyDescent="0.25"/>
    <row r="111" s="3" customFormat="1" ht="15.75" x14ac:dyDescent="0.25"/>
    <row r="112" s="3" customFormat="1" ht="15.75" x14ac:dyDescent="0.25"/>
    <row r="113" spans="6:8" s="3" customFormat="1" ht="15.75" x14ac:dyDescent="0.25"/>
    <row r="114" spans="6:8" s="3" customFormat="1" ht="15.75" x14ac:dyDescent="0.25"/>
    <row r="115" spans="6:8" s="3" customFormat="1" ht="15.75" x14ac:dyDescent="0.25"/>
    <row r="116" spans="6:8" s="3" customFormat="1" ht="15.75" x14ac:dyDescent="0.25"/>
    <row r="117" spans="6:8" s="3" customFormat="1" ht="15.75" x14ac:dyDescent="0.25"/>
    <row r="118" spans="6:8" s="3" customFormat="1" ht="15.75" x14ac:dyDescent="0.25"/>
    <row r="119" spans="6:8" s="3" customFormat="1" ht="15.75" x14ac:dyDescent="0.25"/>
    <row r="120" spans="6:8" s="3" customFormat="1" ht="15.75" x14ac:dyDescent="0.25"/>
    <row r="121" spans="6:8" s="3" customFormat="1" ht="15.75" x14ac:dyDescent="0.25"/>
    <row r="122" spans="6:8" s="3" customFormat="1" ht="15.75" x14ac:dyDescent="0.25"/>
    <row r="123" spans="6:8" s="3" customFormat="1" ht="15.75" x14ac:dyDescent="0.25"/>
    <row r="124" spans="6:8" s="3" customFormat="1" ht="15.75" x14ac:dyDescent="0.25"/>
    <row r="125" spans="6:8" s="3" customFormat="1" ht="15.75" x14ac:dyDescent="0.25"/>
    <row r="126" spans="6:8" s="3" customFormat="1" ht="15.75" x14ac:dyDescent="0.25"/>
    <row r="127" spans="6:8" s="3" customFormat="1" ht="15.75" x14ac:dyDescent="0.25">
      <c r="F127" s="1"/>
      <c r="G127" s="1"/>
      <c r="H127" s="1"/>
    </row>
    <row r="128" spans="6:8" s="3" customFormat="1" ht="15.75" x14ac:dyDescent="0.25">
      <c r="F128" s="1"/>
      <c r="G128" s="1"/>
      <c r="H128" s="1"/>
    </row>
    <row r="129" spans="5:12" s="3" customFormat="1" ht="15.75" x14ac:dyDescent="0.25">
      <c r="F129" s="1"/>
      <c r="G129" s="1"/>
      <c r="H129" s="1"/>
    </row>
    <row r="130" spans="5:12" s="3" customFormat="1" ht="15.75" x14ac:dyDescent="0.25">
      <c r="F130" s="1"/>
      <c r="G130" s="1"/>
      <c r="H130" s="1"/>
    </row>
    <row r="131" spans="5:12" s="3" customFormat="1" ht="15.75" x14ac:dyDescent="0.25">
      <c r="E131" s="1"/>
      <c r="F131" s="1"/>
      <c r="G131" s="1"/>
      <c r="H131" s="1"/>
      <c r="I131" s="1"/>
      <c r="J131" s="1"/>
      <c r="K131" s="1"/>
      <c r="L131" s="1"/>
    </row>
    <row r="132" spans="5:12" s="3" customFormat="1" ht="15.75" x14ac:dyDescent="0.25">
      <c r="E132" s="1"/>
      <c r="F132" s="1"/>
      <c r="G132" s="1"/>
      <c r="H132" s="1"/>
      <c r="I132" s="1"/>
      <c r="J132" s="1"/>
      <c r="K132" s="1"/>
      <c r="L132" s="1"/>
    </row>
    <row r="133" spans="5:12" s="3" customFormat="1" ht="15.75" x14ac:dyDescent="0.25">
      <c r="E133" s="1"/>
      <c r="F133" s="1"/>
      <c r="G133" s="1"/>
      <c r="H133" s="1"/>
      <c r="I133" s="1"/>
      <c r="J133" s="1"/>
      <c r="K133" s="1"/>
      <c r="L133" s="1"/>
    </row>
    <row r="134" spans="5:12" s="3" customFormat="1" ht="15.75" x14ac:dyDescent="0.25">
      <c r="E134" s="1"/>
      <c r="F134" s="1"/>
      <c r="G134" s="1"/>
      <c r="H134" s="1"/>
      <c r="I134" s="1"/>
      <c r="J134" s="1"/>
      <c r="K134" s="1"/>
      <c r="L134" s="1"/>
    </row>
  </sheetData>
  <mergeCells count="3">
    <mergeCell ref="C24:K26"/>
    <mergeCell ref="B27:I27"/>
    <mergeCell ref="B2:K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1cb922-524b-4a63-a729-f715e5c73bc5">
      <Terms xmlns="http://schemas.microsoft.com/office/infopath/2007/PartnerControls"/>
    </lcf76f155ced4ddcb4097134ff3c332f>
    <TaxCatchAll xmlns="985ec44e-1bab-4c0b-9df0-6ba128686fc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C2ACFA87F550418D225E071F542ADA" ma:contentTypeVersion="24" ma:contentTypeDescription="Create a new document." ma:contentTypeScope="" ma:versionID="4acc3459a9e5a8b946124cbee06b9a52">
  <xsd:schema xmlns:xsd="http://www.w3.org/2001/XMLSchema" xmlns:xs="http://www.w3.org/2001/XMLSchema" xmlns:p="http://schemas.microsoft.com/office/2006/metadata/properties" xmlns:ns2="8bde3967-4b29-49c8-add0-1b77de203898" xmlns:ns3="0f1cb922-524b-4a63-a729-f715e5c73bc5" xmlns:ns4="985ec44e-1bab-4c0b-9df0-6ba128686fc9" targetNamespace="http://schemas.microsoft.com/office/2006/metadata/properties" ma:root="true" ma:fieldsID="d55f6a0251caa7867116031c0bdd979f" ns2:_="" ns3:_="" ns4:_="">
    <xsd:import namespace="8bde3967-4b29-49c8-add0-1b77de203898"/>
    <xsd:import namespace="0f1cb922-524b-4a63-a729-f715e5c73bc5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4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e3967-4b29-49c8-add0-1b77de2038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cb922-524b-4a63-a729-f715e5c73b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6068b4f6-077d-4e9b-8d51-ea092799dd60}" ma:internalName="TaxCatchAll" ma:showField="CatchAllData" ma:web="8bde3967-4b29-49c8-add0-1b77de2038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B8CBC8-66C4-431A-A2C6-FBB3D4D17B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902C8E-B1F1-4599-B2A7-A2D9761F3186}">
  <ds:schemaRefs>
    <ds:schemaRef ds:uri="http://schemas.microsoft.com/office/2006/metadata/properties"/>
    <ds:schemaRef ds:uri="http://schemas.microsoft.com/office/infopath/2007/PartnerControls"/>
    <ds:schemaRef ds:uri="0f1cb922-524b-4a63-a729-f715e5c73bc5"/>
    <ds:schemaRef ds:uri="985ec44e-1bab-4c0b-9df0-6ba128686fc9"/>
  </ds:schemaRefs>
</ds:datastoreItem>
</file>

<file path=customXml/itemProps3.xml><?xml version="1.0" encoding="utf-8"?>
<ds:datastoreItem xmlns:ds="http://schemas.openxmlformats.org/officeDocument/2006/customXml" ds:itemID="{55C3BBEA-7B57-44CE-AC32-241AD1778D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de3967-4b29-49c8-add0-1b77de203898"/>
    <ds:schemaRef ds:uri="0f1cb922-524b-4a63-a729-f715e5c73bc5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 finding</vt:lpstr>
      <vt:lpstr>Figure 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Danica</dc:creator>
  <cp:keywords/>
  <dc:description/>
  <cp:lastModifiedBy>Gerald Kandulu</cp:lastModifiedBy>
  <cp:revision/>
  <dcterms:created xsi:type="dcterms:W3CDTF">2022-11-02T16:27:10Z</dcterms:created>
  <dcterms:modified xsi:type="dcterms:W3CDTF">2025-07-01T08:07:40Z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0x010100ACC2ACFA87F550418D225E071F542ADA</vt:lpwstr>
  </property>
  <property fmtid="{D5CDD505-2E9C-101B-9397-08002B2CF9AE}" pid="3" name="MediaServiceImageTags">
    <vt:lpwstr/>
  </property>
</Properties>
</file>